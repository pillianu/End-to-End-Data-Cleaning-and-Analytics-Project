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6A8C9AF0-A36A-4409-A223-2BCF70D6EAE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essy_sales_cleaned" sheetId="1" r:id="rId1"/>
  </sheets>
  <definedNames>
    <definedName name="_xlnm._FilterDatabase" localSheetId="0" hidden="1">messy_sales_cleaned!$A$25:$F$43</definedName>
  </definedNames>
  <calcPr calcId="191028"/>
  <pivotCaches>
    <pivotCache cacheId="45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6" i="1" l="1" a="1"/>
  <c r="I26" i="1"/>
  <c r="H26" i="1" a="1"/>
  <c r="H26" i="1"/>
  <c r="H2" i="1" a="1"/>
  <c r="H2" i="1"/>
  <c r="I2" i="1" a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<sst xmlns="http://schemas.openxmlformats.org/spreadsheetml/2006/main" count="146" uniqueCount="48">
  <si>
    <t>Order_id</t>
  </si>
  <si>
    <t>Customer_Name</t>
  </si>
  <si>
    <t>Order_Date</t>
  </si>
  <si>
    <t>Product_Category</t>
  </si>
  <si>
    <t>Amount</t>
  </si>
  <si>
    <t>Region</t>
  </si>
  <si>
    <t>custom_name</t>
  </si>
  <si>
    <t>custom_product</t>
  </si>
  <si>
    <t>harish kalyan</t>
  </si>
  <si>
    <t>ELECTRONICS</t>
  </si>
  <si>
    <t>North</t>
  </si>
  <si>
    <t>ANANYA RAO</t>
  </si>
  <si>
    <t>clothing</t>
  </si>
  <si>
    <t>West</t>
  </si>
  <si>
    <t>vijay sai</t>
  </si>
  <si>
    <t>Home Decor</t>
  </si>
  <si>
    <t>South</t>
  </si>
  <si>
    <t>Suresh Babu</t>
  </si>
  <si>
    <t>eleCtRoNiCs</t>
  </si>
  <si>
    <t xml:space="preserve">NULL </t>
  </si>
  <si>
    <t>Swapna Reddy</t>
  </si>
  <si>
    <t>Clothing</t>
  </si>
  <si>
    <t>East</t>
  </si>
  <si>
    <t>nithin kumar</t>
  </si>
  <si>
    <t>KAVYA SRI</t>
  </si>
  <si>
    <t>rami reddy</t>
  </si>
  <si>
    <t>Divya Teja</t>
  </si>
  <si>
    <t>CLOTHING</t>
  </si>
  <si>
    <t>pavan kalyan</t>
  </si>
  <si>
    <t>electronics</t>
  </si>
  <si>
    <t>Sudeep Verma</t>
  </si>
  <si>
    <t>Meena Kumari</t>
  </si>
  <si>
    <t>eleCtrRoNiCs</t>
  </si>
  <si>
    <t>mahesh babu</t>
  </si>
  <si>
    <t>Abdul Rahim</t>
  </si>
  <si>
    <t>Sailaja Rani</t>
  </si>
  <si>
    <t>vikram aditya</t>
  </si>
  <si>
    <t>Sneha Latha</t>
  </si>
  <si>
    <t>Electronics</t>
  </si>
  <si>
    <t>chalapathi rao</t>
  </si>
  <si>
    <t>cus_Customer_Name</t>
  </si>
  <si>
    <t>cus_Product_Category</t>
  </si>
  <si>
    <t>Ananya Rao</t>
  </si>
  <si>
    <t>Vijay Sai</t>
  </si>
  <si>
    <t>PIVOT TABLES</t>
  </si>
  <si>
    <t>Sum of Amount</t>
  </si>
  <si>
    <t>Electrronics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</si>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</sst>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0" fillId="0" borderId="0" xfId="0" pivotButton="1"/>
    <xf numFmtId="0" fontId="0" fillId="0" borderId="0" xfId="0" applyNumberFormat="1"/>
    <xf numFmtId="0" fontId="3" fillId="2" borderId="0" xfId="0" applyFont="1" applyFill="1"/>
    <xf numFmtId="0" fontId="3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0.908838657408" createdVersion="8" refreshedVersion="8" minRefreshableVersion="3" recordCount="18" xr:uid="{06C592AA-4CA1-48C9-A22F-3790039BA8A2}">
  <cacheSource type="worksheet">
    <worksheetSource ref="A25:I43" sheet="messy_sales_cleaned"/>
  </cacheSource>
  <cacheFields count="9">
    <cacheField name="Order_id" numFmtId="0">
      <sharedItems containsSemiMixedTypes="0" containsString="0" containsNumber="1" containsInteger="1" minValue="7001" maxValue="7018"/>
    </cacheField>
    <cacheField name="Customer_Name" numFmtId="0">
      <sharedItems/>
    </cacheField>
    <cacheField name="Order_Date" numFmtId="14">
      <sharedItems containsSemiMixedTypes="0" containsNonDate="0" containsDate="1" containsString="0" minDate="2026-05-10T00:00:00" maxDate="2026-05-28T00:00:00"/>
    </cacheField>
    <cacheField name="Product_Category" numFmtId="0">
      <sharedItems/>
    </cacheField>
    <cacheField name="Amount" numFmtId="0">
      <sharedItems containsSemiMixedTypes="0" containsString="0" containsNumber="1" containsInteger="1" minValue="1500" maxValue="42000"/>
    </cacheField>
    <cacheField name="Region" numFmtId="0">
      <sharedItems count="5">
        <s v="North"/>
        <s v="West"/>
        <s v="South"/>
        <s v="NULL "/>
        <s v="East"/>
      </sharedItems>
    </cacheField>
    <cacheField name="Field7" caption="Field7" numFmtId="0">
      <sharedItems containsNonDate="0" containsString="0" containsBlank="1"/>
    </cacheField>
    <cacheField name="custom_name" numFmtId="0">
      <sharedItems/>
    </cacheField>
    <cacheField name="custom_product" numFmtId="0">
      <sharedItems count="4">
        <s v="Electronics"/>
        <s v="Clothing"/>
        <s v="Home Decor"/>
        <s v="Electrron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7001"/>
    <s v="harish kalyan"/>
    <d v="2026-05-10T00:00:00"/>
    <s v="ELECTRONICS"/>
    <n v="25000"/>
    <x v="0"/>
    <m/>
    <s v="Harish Kalyan"/>
    <x v="0"/>
  </r>
  <r>
    <n v="7002"/>
    <s v="ANANYA RAO"/>
    <d v="2026-05-11T00:00:00"/>
    <s v="clothing"/>
    <n v="4500"/>
    <x v="1"/>
    <m/>
    <s v="Ananya Rao"/>
    <x v="1"/>
  </r>
  <r>
    <n v="7003"/>
    <s v="vijay sai"/>
    <d v="2026-05-12T00:00:00"/>
    <s v="Home Decor"/>
    <n v="8000"/>
    <x v="2"/>
    <m/>
    <s v="Vijay Sai"/>
    <x v="2"/>
  </r>
  <r>
    <n v="7004"/>
    <s v="Suresh Babu"/>
    <d v="2026-05-13T00:00:00"/>
    <s v="ELECTRONICS"/>
    <n v="12000"/>
    <x v="3"/>
    <m/>
    <s v="Suresh Babu"/>
    <x v="0"/>
  </r>
  <r>
    <n v="7005"/>
    <s v="Swapna Reddy"/>
    <d v="2026-05-14T00:00:00"/>
    <s v="clothing"/>
    <n v="3200"/>
    <x v="4"/>
    <m/>
    <s v="Swapna Reddy"/>
    <x v="1"/>
  </r>
  <r>
    <n v="7006"/>
    <s v="nithin kumar"/>
    <d v="2026-05-15T00:00:00"/>
    <s v="ELECTRONICS"/>
    <n v="18500"/>
    <x v="2"/>
    <m/>
    <s v="Nithin Kumar"/>
    <x v="0"/>
  </r>
  <r>
    <n v="7007"/>
    <s v="KAVYA SRI"/>
    <d v="2026-05-16T00:00:00"/>
    <s v="clothing"/>
    <n v="6200"/>
    <x v="3"/>
    <m/>
    <s v="Kavya Sri"/>
    <x v="1"/>
  </r>
  <r>
    <n v="7008"/>
    <s v="rami reddy"/>
    <d v="2026-05-17T00:00:00"/>
    <s v="Home Decor"/>
    <n v="9500"/>
    <x v="4"/>
    <m/>
    <s v="Rami Reddy"/>
    <x v="2"/>
  </r>
  <r>
    <n v="7009"/>
    <s v="Divya Teja"/>
    <d v="2026-05-18T00:00:00"/>
    <s v="clothing"/>
    <n v="1500"/>
    <x v="1"/>
    <m/>
    <s v="Divya Teja"/>
    <x v="1"/>
  </r>
  <r>
    <n v="7010"/>
    <s v="pavan kalyan"/>
    <d v="2026-05-19T00:00:00"/>
    <s v="ELECTRONICS"/>
    <n v="35000"/>
    <x v="0"/>
    <m/>
    <s v="Pavan Kalyan"/>
    <x v="0"/>
  </r>
  <r>
    <n v="7011"/>
    <s v="Sudeep Verma"/>
    <d v="2026-05-20T00:00:00"/>
    <s v="Home Decor"/>
    <n v="11000"/>
    <x v="2"/>
    <m/>
    <s v="Sudeep Verma"/>
    <x v="2"/>
  </r>
  <r>
    <n v="7012"/>
    <s v="Meena Kumari"/>
    <d v="2026-05-21T00:00:00"/>
    <s v="eleCtrRoNiCs"/>
    <n v="42000"/>
    <x v="1"/>
    <m/>
    <s v="Meena Kumari"/>
    <x v="3"/>
  </r>
  <r>
    <n v="7013"/>
    <s v="mahesh babu"/>
    <d v="2026-05-22T00:00:00"/>
    <s v="clothing"/>
    <n v="5500"/>
    <x v="0"/>
    <m/>
    <s v="Mahesh Babu"/>
    <x v="1"/>
  </r>
  <r>
    <n v="7014"/>
    <s v="Abdul Rahim"/>
    <d v="2026-05-23T00:00:00"/>
    <s v="ELECTRONICS"/>
    <n v="21000"/>
    <x v="3"/>
    <m/>
    <s v="Abdul Rahim"/>
    <x v="0"/>
  </r>
  <r>
    <n v="7015"/>
    <s v="Sailaja Rani"/>
    <d v="2026-05-24T00:00:00"/>
    <s v="Home Decor"/>
    <n v="13400"/>
    <x v="4"/>
    <m/>
    <s v="Sailaja Rani"/>
    <x v="2"/>
  </r>
  <r>
    <n v="7016"/>
    <s v="vikram aditya"/>
    <d v="2026-05-25T00:00:00"/>
    <s v="clothing"/>
    <n v="2800"/>
    <x v="2"/>
    <m/>
    <s v="Vikram Aditya"/>
    <x v="1"/>
  </r>
  <r>
    <n v="7017"/>
    <s v="Sneha Latha"/>
    <d v="2026-05-26T00:00:00"/>
    <s v="ELECTRONICS"/>
    <n v="16500"/>
    <x v="1"/>
    <m/>
    <s v="Sneha Latha"/>
    <x v="0"/>
  </r>
  <r>
    <n v="7018"/>
    <s v="chalapathi rao"/>
    <d v="2026-05-27T00:00:00"/>
    <s v="Home Decor"/>
    <n v="7200"/>
    <x v="0"/>
    <m/>
    <s v="Chalapathi Rao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7F9BA-EF21-42AA-89B4-2726F7959A45}" name="PivotTable2" cacheId="4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8:B53" firstHeaderRow="1" firstDataRow="1" firstDataCol="1"/>
  <pivotFields count="9">
    <pivotField compact="0" outline="0" showAll="0"/>
    <pivotField compact="0" outline="0" showAll="0"/>
    <pivotField compact="0" numFmtId="14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5">
    <i>
      <x v="2"/>
    </i>
    <i>
      <x/>
    </i>
    <i>
      <x v="1"/>
    </i>
    <i>
      <x v="3"/>
    </i>
    <i t="grand">
      <x/>
    </i>
  </rowItems>
  <colItems count="1">
    <i/>
  </colItems>
  <dataFields count="1">
    <dataField name="Sum of Amount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2AC811-BF21-4EF5-8907-3B399FB61C74}" name="PivotTable3" cacheId="4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48:E54" firstHeaderRow="1" firstDataRow="1" firstDataCol="1"/>
  <pivotFields count="9">
    <pivotField compact="0" outline="0" showAll="0"/>
    <pivotField compact="0" outline="0" showAll="0"/>
    <pivotField compact="0" numFmtId="14" outline="0" showAll="0"/>
    <pivotField compact="0" outline="0" showAll="0"/>
    <pivotField dataField="1" compact="0" outline="0" showAll="0"/>
    <pivotField axis="axisRow" compact="0" outline="0" showAll="0" sortType="descending">
      <items count="6">
        <item x="4"/>
        <item x="0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</pivotFields>
  <rowFields count="1">
    <field x="5"/>
  </rowFields>
  <rowItems count="6">
    <i>
      <x v="1"/>
    </i>
    <i>
      <x v="4"/>
    </i>
    <i>
      <x v="3"/>
    </i>
    <i>
      <x v="2"/>
    </i>
    <i>
      <x/>
    </i>
    <i t="grand">
      <x/>
    </i>
  </rowItems>
  <colItems count="1">
    <i/>
  </colItems>
  <dataFields count="1">
    <dataField name="Sum of Amount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workbookViewId="0">
      <selection activeCell="A24" sqref="A24"/>
    </sheetView>
  </sheetViews>
  <sheetFormatPr defaultRowHeight="15"/>
  <cols>
    <col min="1" max="1" width="14" customWidth="1"/>
    <col min="2" max="2" width="19.140625" customWidth="1"/>
    <col min="3" max="3" width="11.140625" bestFit="1" customWidth="1"/>
    <col min="4" max="4" width="22.85546875" customWidth="1"/>
    <col min="5" max="5" width="12.5703125" customWidth="1"/>
    <col min="6" max="6" width="11.42578125" customWidth="1"/>
    <col min="8" max="8" width="15" customWidth="1"/>
    <col min="9" max="9" width="15.42578125" customWidth="1"/>
    <col min="10" max="10" width="6.140625" customWidth="1"/>
    <col min="11" max="11" width="3.42578125" customWidth="1"/>
  </cols>
  <sheetData>
    <row r="1" spans="1:10">
      <c r="A1" s="4" t="s">
        <v>0</v>
      </c>
      <c r="B1" s="5" t="s">
        <v>1</v>
      </c>
      <c r="C1" s="5" t="s">
        <v>2</v>
      </c>
      <c r="D1" s="4" t="s">
        <v>3</v>
      </c>
      <c r="E1" s="5" t="s">
        <v>4</v>
      </c>
      <c r="F1" s="5" t="s">
        <v>5</v>
      </c>
      <c r="G1" s="5"/>
      <c r="H1" s="3" t="s">
        <v>6</v>
      </c>
      <c r="I1" s="3" t="s">
        <v>7</v>
      </c>
      <c r="J1" s="3"/>
    </row>
    <row r="2" spans="1:10">
      <c r="A2" s="1">
        <v>7001</v>
      </c>
      <c r="B2" t="s">
        <v>8</v>
      </c>
      <c r="C2" s="2">
        <v>46152</v>
      </c>
      <c r="D2" t="s">
        <v>9</v>
      </c>
      <c r="E2">
        <v>25000</v>
      </c>
      <c r="F2" t="s">
        <v>10</v>
      </c>
      <c r="H2" t="str" cm="1">
        <f t="array" ref="H2:H21">TRIM(PROPER(B2:B21))</f>
        <v>Harish Kalyan</v>
      </c>
      <c r="I2" t="str" cm="1">
        <f t="array" ref="I2:I21">PROPER(D2:D21)</f>
        <v>Electronics</v>
      </c>
    </row>
    <row r="3" spans="1:10">
      <c r="A3">
        <v>7002</v>
      </c>
      <c r="B3" t="s">
        <v>11</v>
      </c>
      <c r="C3" s="2">
        <v>46153</v>
      </c>
      <c r="D3" t="s">
        <v>12</v>
      </c>
      <c r="E3">
        <v>4500</v>
      </c>
      <c r="F3" t="s">
        <v>13</v>
      </c>
      <c r="H3" t="str">
        <v>Ananya Rao</v>
      </c>
      <c r="I3" t="str">
        <v>Clothing</v>
      </c>
    </row>
    <row r="4" spans="1:10">
      <c r="A4">
        <v>7003</v>
      </c>
      <c r="B4" t="s">
        <v>14</v>
      </c>
      <c r="C4" s="2">
        <v>46154</v>
      </c>
      <c r="D4" t="s">
        <v>15</v>
      </c>
      <c r="E4">
        <v>8000</v>
      </c>
      <c r="F4" t="s">
        <v>16</v>
      </c>
      <c r="H4" t="str">
        <v>Vijay Sai</v>
      </c>
      <c r="I4" t="str">
        <v>Home Decor</v>
      </c>
    </row>
    <row r="5" spans="1:10">
      <c r="A5">
        <v>7001</v>
      </c>
      <c r="B5" t="s">
        <v>8</v>
      </c>
      <c r="C5" s="2">
        <v>46152</v>
      </c>
      <c r="D5" t="s">
        <v>9</v>
      </c>
      <c r="E5">
        <v>25000</v>
      </c>
      <c r="F5" t="s">
        <v>10</v>
      </c>
      <c r="H5" t="str">
        <v>Harish Kalyan</v>
      </c>
      <c r="I5" t="str">
        <v>Electronics</v>
      </c>
    </row>
    <row r="6" spans="1:10">
      <c r="A6">
        <v>7004</v>
      </c>
      <c r="B6" t="s">
        <v>17</v>
      </c>
      <c r="C6" s="2">
        <v>46155</v>
      </c>
      <c r="D6" t="s">
        <v>18</v>
      </c>
      <c r="E6">
        <v>12000</v>
      </c>
      <c r="F6" t="s">
        <v>19</v>
      </c>
      <c r="H6" t="str">
        <v>Suresh Babu</v>
      </c>
      <c r="I6" t="str">
        <v>Electronics</v>
      </c>
    </row>
    <row r="7" spans="1:10">
      <c r="A7">
        <v>7005</v>
      </c>
      <c r="B7" t="s">
        <v>20</v>
      </c>
      <c r="C7" s="2">
        <v>46156</v>
      </c>
      <c r="D7" t="s">
        <v>21</v>
      </c>
      <c r="E7">
        <v>3200</v>
      </c>
      <c r="F7" t="s">
        <v>22</v>
      </c>
      <c r="H7" t="str">
        <v>Swapna Reddy</v>
      </c>
      <c r="I7" t="str">
        <v>Clothing</v>
      </c>
    </row>
    <row r="8" spans="1:10">
      <c r="A8">
        <v>7006</v>
      </c>
      <c r="B8" t="s">
        <v>23</v>
      </c>
      <c r="C8" s="2">
        <v>46157</v>
      </c>
      <c r="D8" t="s">
        <v>9</v>
      </c>
      <c r="E8">
        <v>18500</v>
      </c>
      <c r="F8" t="s">
        <v>16</v>
      </c>
      <c r="H8" t="str">
        <v>Nithin Kumar</v>
      </c>
      <c r="I8" t="str">
        <v>Electronics</v>
      </c>
    </row>
    <row r="9" spans="1:10">
      <c r="A9">
        <v>7007</v>
      </c>
      <c r="B9" t="s">
        <v>24</v>
      </c>
      <c r="C9" s="2">
        <v>46158</v>
      </c>
      <c r="D9" t="s">
        <v>12</v>
      </c>
      <c r="E9">
        <v>6200</v>
      </c>
      <c r="F9" t="s">
        <v>19</v>
      </c>
      <c r="H9" t="str">
        <v>Kavya Sri</v>
      </c>
      <c r="I9" t="str">
        <v>Clothing</v>
      </c>
    </row>
    <row r="10" spans="1:10">
      <c r="A10">
        <v>7008</v>
      </c>
      <c r="B10" t="s">
        <v>25</v>
      </c>
      <c r="C10" s="2">
        <v>46159</v>
      </c>
      <c r="D10" t="s">
        <v>15</v>
      </c>
      <c r="E10">
        <v>9500</v>
      </c>
      <c r="F10" t="s">
        <v>22</v>
      </c>
      <c r="H10" t="str">
        <v>Rami Reddy</v>
      </c>
      <c r="I10" t="str">
        <v>Home Decor</v>
      </c>
    </row>
    <row r="11" spans="1:10">
      <c r="A11">
        <v>7009</v>
      </c>
      <c r="B11" t="s">
        <v>26</v>
      </c>
      <c r="C11" s="2">
        <v>46160</v>
      </c>
      <c r="D11" t="s">
        <v>27</v>
      </c>
      <c r="E11">
        <v>1500</v>
      </c>
      <c r="F11" t="s">
        <v>13</v>
      </c>
      <c r="H11" t="str">
        <v>Divya Teja</v>
      </c>
      <c r="I11" t="str">
        <v>Clothing</v>
      </c>
    </row>
    <row r="12" spans="1:10">
      <c r="A12">
        <v>7010</v>
      </c>
      <c r="B12" t="s">
        <v>28</v>
      </c>
      <c r="C12" s="2">
        <v>46161</v>
      </c>
      <c r="D12" t="s">
        <v>29</v>
      </c>
      <c r="E12">
        <v>35000</v>
      </c>
      <c r="F12" t="s">
        <v>10</v>
      </c>
      <c r="H12" t="str">
        <v>Pavan Kalyan</v>
      </c>
      <c r="I12" t="str">
        <v>Electronics</v>
      </c>
    </row>
    <row r="13" spans="1:10">
      <c r="A13">
        <v>7006</v>
      </c>
      <c r="B13" t="s">
        <v>23</v>
      </c>
      <c r="C13" s="2">
        <v>46157</v>
      </c>
      <c r="D13" t="s">
        <v>9</v>
      </c>
      <c r="E13">
        <v>18500</v>
      </c>
      <c r="F13" t="s">
        <v>16</v>
      </c>
      <c r="H13" t="str">
        <v>Nithin Kumar</v>
      </c>
      <c r="I13" t="str">
        <v>Electronics</v>
      </c>
    </row>
    <row r="14" spans="1:10">
      <c r="A14">
        <v>7011</v>
      </c>
      <c r="B14" t="s">
        <v>30</v>
      </c>
      <c r="C14" s="2">
        <v>46162</v>
      </c>
      <c r="D14" t="s">
        <v>15</v>
      </c>
      <c r="E14">
        <v>11000</v>
      </c>
      <c r="F14" t="s">
        <v>16</v>
      </c>
      <c r="H14" t="str">
        <v>Sudeep Verma</v>
      </c>
      <c r="I14" t="str">
        <v>Home Decor</v>
      </c>
    </row>
    <row r="15" spans="1:10">
      <c r="A15">
        <v>7012</v>
      </c>
      <c r="B15" t="s">
        <v>31</v>
      </c>
      <c r="C15" s="2">
        <v>46163</v>
      </c>
      <c r="D15" t="s">
        <v>32</v>
      </c>
      <c r="E15">
        <v>42000</v>
      </c>
      <c r="F15" t="s">
        <v>13</v>
      </c>
      <c r="H15" t="str">
        <v>Meena Kumari</v>
      </c>
      <c r="I15" t="str">
        <v>Electrronics</v>
      </c>
    </row>
    <row r="16" spans="1:10">
      <c r="A16">
        <v>7013</v>
      </c>
      <c r="B16" t="s">
        <v>33</v>
      </c>
      <c r="C16" s="2">
        <v>46164</v>
      </c>
      <c r="D16" t="s">
        <v>12</v>
      </c>
      <c r="E16">
        <v>5500</v>
      </c>
      <c r="F16" t="s">
        <v>10</v>
      </c>
      <c r="H16" t="str">
        <v>Mahesh Babu</v>
      </c>
      <c r="I16" t="str">
        <v>Clothing</v>
      </c>
    </row>
    <row r="17" spans="1:9">
      <c r="A17">
        <v>7014</v>
      </c>
      <c r="B17" t="s">
        <v>34</v>
      </c>
      <c r="C17" s="2">
        <v>46165</v>
      </c>
      <c r="D17" t="s">
        <v>9</v>
      </c>
      <c r="E17">
        <v>21000</v>
      </c>
      <c r="F17" t="s">
        <v>19</v>
      </c>
      <c r="H17" t="str">
        <v>Abdul Rahim</v>
      </c>
      <c r="I17" t="str">
        <v>Electronics</v>
      </c>
    </row>
    <row r="18" spans="1:9">
      <c r="A18">
        <v>7015</v>
      </c>
      <c r="B18" t="s">
        <v>35</v>
      </c>
      <c r="C18" s="2">
        <v>46166</v>
      </c>
      <c r="D18" t="s">
        <v>15</v>
      </c>
      <c r="E18">
        <v>13400</v>
      </c>
      <c r="F18" t="s">
        <v>22</v>
      </c>
      <c r="H18" t="str">
        <v>Sailaja Rani</v>
      </c>
      <c r="I18" t="str">
        <v>Home Decor</v>
      </c>
    </row>
    <row r="19" spans="1:9">
      <c r="A19">
        <v>7016</v>
      </c>
      <c r="B19" t="s">
        <v>36</v>
      </c>
      <c r="C19" s="2">
        <v>46167</v>
      </c>
      <c r="D19" t="s">
        <v>12</v>
      </c>
      <c r="E19">
        <v>2800</v>
      </c>
      <c r="F19" t="s">
        <v>16</v>
      </c>
      <c r="H19" t="str">
        <v>Vikram Aditya</v>
      </c>
      <c r="I19" t="str">
        <v>Clothing</v>
      </c>
    </row>
    <row r="20" spans="1:9">
      <c r="A20">
        <v>7017</v>
      </c>
      <c r="B20" t="s">
        <v>37</v>
      </c>
      <c r="C20" s="2">
        <v>46168</v>
      </c>
      <c r="D20" t="s">
        <v>38</v>
      </c>
      <c r="E20">
        <v>16500</v>
      </c>
      <c r="F20" t="s">
        <v>13</v>
      </c>
      <c r="H20" t="str">
        <v>Sneha Latha</v>
      </c>
      <c r="I20" t="str">
        <v>Electronics</v>
      </c>
    </row>
    <row r="21" spans="1:9">
      <c r="A21">
        <v>7018</v>
      </c>
      <c r="B21" t="s">
        <v>39</v>
      </c>
      <c r="C21" s="2">
        <v>46169</v>
      </c>
      <c r="D21" t="s">
        <v>15</v>
      </c>
      <c r="E21">
        <v>7200</v>
      </c>
      <c r="F21" t="s">
        <v>10</v>
      </c>
      <c r="H21" t="str">
        <v>Chalapathi Rao</v>
      </c>
      <c r="I21" t="str">
        <v>Home Decor</v>
      </c>
    </row>
    <row r="25" spans="1:9" ht="30.75">
      <c r="A25" s="4" t="s">
        <v>0</v>
      </c>
      <c r="B25" s="4" t="s">
        <v>40</v>
      </c>
      <c r="C25" s="5" t="s">
        <v>2</v>
      </c>
      <c r="D25" s="4" t="s">
        <v>41</v>
      </c>
      <c r="E25" s="5" t="s">
        <v>4</v>
      </c>
      <c r="F25" s="5" t="s">
        <v>5</v>
      </c>
      <c r="G25" s="5"/>
      <c r="H25" s="3" t="s">
        <v>6</v>
      </c>
      <c r="I25" s="3" t="s">
        <v>7</v>
      </c>
    </row>
    <row r="26" spans="1:9">
      <c r="A26" s="1">
        <v>7001</v>
      </c>
      <c r="B26" s="9" t="s">
        <v>8</v>
      </c>
      <c r="C26" s="2">
        <v>46152</v>
      </c>
      <c r="D26" t="s">
        <v>9</v>
      </c>
      <c r="E26">
        <v>25000</v>
      </c>
      <c r="F26" t="s">
        <v>10</v>
      </c>
      <c r="H26" t="str" cm="1">
        <f t="array" ref="H26:H43">TRIM(PROPER(B26:B43))</f>
        <v>Harish Kalyan</v>
      </c>
      <c r="I26" t="str" cm="1">
        <f t="array" ref="I26:I43">PROPER(D26:D43)</f>
        <v>Electronics</v>
      </c>
    </row>
    <row r="27" spans="1:9">
      <c r="A27">
        <v>7002</v>
      </c>
      <c r="B27" s="8" t="s">
        <v>42</v>
      </c>
      <c r="C27" s="2">
        <v>46153</v>
      </c>
      <c r="D27" t="s">
        <v>12</v>
      </c>
      <c r="E27">
        <v>4500</v>
      </c>
      <c r="F27" t="s">
        <v>13</v>
      </c>
      <c r="H27" t="str">
        <v>Ananya Rao</v>
      </c>
      <c r="I27" t="str">
        <v>Clothing</v>
      </c>
    </row>
    <row r="28" spans="1:9">
      <c r="A28">
        <v>7003</v>
      </c>
      <c r="B28" s="9" t="s">
        <v>43</v>
      </c>
      <c r="C28" s="2">
        <v>46154</v>
      </c>
      <c r="D28" t="s">
        <v>15</v>
      </c>
      <c r="E28">
        <v>8000</v>
      </c>
      <c r="F28" t="s">
        <v>16</v>
      </c>
      <c r="H28" t="str">
        <v>Vijay Sai</v>
      </c>
      <c r="I28" t="str">
        <v>Home Decor</v>
      </c>
    </row>
    <row r="29" spans="1:9">
      <c r="A29">
        <v>7004</v>
      </c>
      <c r="B29" t="s">
        <v>17</v>
      </c>
      <c r="C29" s="2">
        <v>46155</v>
      </c>
      <c r="D29" t="s">
        <v>18</v>
      </c>
      <c r="E29">
        <v>12000</v>
      </c>
      <c r="F29" t="s">
        <v>19</v>
      </c>
      <c r="H29" t="str">
        <v>Suresh Babu</v>
      </c>
      <c r="I29" t="str">
        <v>Electronics</v>
      </c>
    </row>
    <row r="30" spans="1:9">
      <c r="A30">
        <v>7005</v>
      </c>
      <c r="B30" t="s">
        <v>20</v>
      </c>
      <c r="C30" s="2">
        <v>46156</v>
      </c>
      <c r="D30" t="s">
        <v>21</v>
      </c>
      <c r="E30">
        <v>3200</v>
      </c>
      <c r="F30" t="s">
        <v>22</v>
      </c>
      <c r="H30" t="str">
        <v>Swapna Reddy</v>
      </c>
      <c r="I30" t="str">
        <v>Clothing</v>
      </c>
    </row>
    <row r="31" spans="1:9">
      <c r="A31">
        <v>7006</v>
      </c>
      <c r="B31" t="s">
        <v>23</v>
      </c>
      <c r="C31" s="2">
        <v>46157</v>
      </c>
      <c r="D31" t="s">
        <v>9</v>
      </c>
      <c r="E31">
        <v>18500</v>
      </c>
      <c r="F31" t="s">
        <v>16</v>
      </c>
      <c r="H31" t="str">
        <v>Nithin Kumar</v>
      </c>
      <c r="I31" t="str">
        <v>Electronics</v>
      </c>
    </row>
    <row r="32" spans="1:9">
      <c r="A32">
        <v>7007</v>
      </c>
      <c r="B32" t="s">
        <v>24</v>
      </c>
      <c r="C32" s="2">
        <v>46158</v>
      </c>
      <c r="D32" t="s">
        <v>12</v>
      </c>
      <c r="E32">
        <v>6200</v>
      </c>
      <c r="F32" t="s">
        <v>19</v>
      </c>
      <c r="H32" t="str">
        <v>Kavya Sri</v>
      </c>
      <c r="I32" t="str">
        <v>Clothing</v>
      </c>
    </row>
    <row r="33" spans="1:9">
      <c r="A33">
        <v>7008</v>
      </c>
      <c r="B33" t="s">
        <v>25</v>
      </c>
      <c r="C33" s="2">
        <v>46159</v>
      </c>
      <c r="D33" t="s">
        <v>15</v>
      </c>
      <c r="E33">
        <v>9500</v>
      </c>
      <c r="F33" t="s">
        <v>22</v>
      </c>
      <c r="H33" t="str">
        <v>Rami Reddy</v>
      </c>
      <c r="I33" t="str">
        <v>Home Decor</v>
      </c>
    </row>
    <row r="34" spans="1:9">
      <c r="A34">
        <v>7009</v>
      </c>
      <c r="B34" t="s">
        <v>26</v>
      </c>
      <c r="C34" s="2">
        <v>46160</v>
      </c>
      <c r="D34" t="s">
        <v>27</v>
      </c>
      <c r="E34">
        <v>1500</v>
      </c>
      <c r="F34" t="s">
        <v>13</v>
      </c>
      <c r="H34" t="str">
        <v>Divya Teja</v>
      </c>
      <c r="I34" t="str">
        <v>Clothing</v>
      </c>
    </row>
    <row r="35" spans="1:9">
      <c r="A35">
        <v>7010</v>
      </c>
      <c r="B35" t="s">
        <v>28</v>
      </c>
      <c r="C35" s="2">
        <v>46161</v>
      </c>
      <c r="D35" t="s">
        <v>29</v>
      </c>
      <c r="E35">
        <v>35000</v>
      </c>
      <c r="F35" t="s">
        <v>10</v>
      </c>
      <c r="H35" t="str">
        <v>Pavan Kalyan</v>
      </c>
      <c r="I35" t="str">
        <v>Electronics</v>
      </c>
    </row>
    <row r="36" spans="1:9">
      <c r="A36">
        <v>7011</v>
      </c>
      <c r="B36" t="s">
        <v>30</v>
      </c>
      <c r="C36" s="2">
        <v>46162</v>
      </c>
      <c r="D36" t="s">
        <v>15</v>
      </c>
      <c r="E36">
        <v>11000</v>
      </c>
      <c r="F36" t="s">
        <v>16</v>
      </c>
      <c r="H36" t="str">
        <v>Sudeep Verma</v>
      </c>
      <c r="I36" t="str">
        <v>Home Decor</v>
      </c>
    </row>
    <row r="37" spans="1:9">
      <c r="A37">
        <v>7012</v>
      </c>
      <c r="B37" t="s">
        <v>31</v>
      </c>
      <c r="C37" s="2">
        <v>46163</v>
      </c>
      <c r="D37" t="s">
        <v>32</v>
      </c>
      <c r="E37">
        <v>42000</v>
      </c>
      <c r="F37" t="s">
        <v>13</v>
      </c>
      <c r="H37" t="str">
        <v>Meena Kumari</v>
      </c>
      <c r="I37" t="str">
        <v>Electrronics</v>
      </c>
    </row>
    <row r="38" spans="1:9">
      <c r="A38">
        <v>7013</v>
      </c>
      <c r="B38" t="s">
        <v>33</v>
      </c>
      <c r="C38" s="2">
        <v>46164</v>
      </c>
      <c r="D38" t="s">
        <v>12</v>
      </c>
      <c r="E38">
        <v>5500</v>
      </c>
      <c r="F38" t="s">
        <v>10</v>
      </c>
      <c r="H38" t="str">
        <v>Mahesh Babu</v>
      </c>
      <c r="I38" t="str">
        <v>Clothing</v>
      </c>
    </row>
    <row r="39" spans="1:9">
      <c r="A39">
        <v>7014</v>
      </c>
      <c r="B39" t="s">
        <v>34</v>
      </c>
      <c r="C39" s="2">
        <v>46165</v>
      </c>
      <c r="D39" t="s">
        <v>9</v>
      </c>
      <c r="E39">
        <v>21000</v>
      </c>
      <c r="F39" t="s">
        <v>19</v>
      </c>
      <c r="H39" t="str">
        <v>Abdul Rahim</v>
      </c>
      <c r="I39" t="str">
        <v>Electronics</v>
      </c>
    </row>
    <row r="40" spans="1:9">
      <c r="A40">
        <v>7015</v>
      </c>
      <c r="B40" t="s">
        <v>35</v>
      </c>
      <c r="C40" s="2">
        <v>46166</v>
      </c>
      <c r="D40" t="s">
        <v>15</v>
      </c>
      <c r="E40">
        <v>13400</v>
      </c>
      <c r="F40" t="s">
        <v>22</v>
      </c>
      <c r="H40" t="str">
        <v>Sailaja Rani</v>
      </c>
      <c r="I40" t="str">
        <v>Home Decor</v>
      </c>
    </row>
    <row r="41" spans="1:9">
      <c r="A41">
        <v>7016</v>
      </c>
      <c r="B41" t="s">
        <v>36</v>
      </c>
      <c r="C41" s="2">
        <v>46167</v>
      </c>
      <c r="D41" t="s">
        <v>12</v>
      </c>
      <c r="E41">
        <v>2800</v>
      </c>
      <c r="F41" t="s">
        <v>16</v>
      </c>
      <c r="H41" t="str">
        <v>Vikram Aditya</v>
      </c>
      <c r="I41" t="str">
        <v>Clothing</v>
      </c>
    </row>
    <row r="42" spans="1:9">
      <c r="A42">
        <v>7017</v>
      </c>
      <c r="B42" t="s">
        <v>37</v>
      </c>
      <c r="C42" s="2">
        <v>46168</v>
      </c>
      <c r="D42" t="s">
        <v>38</v>
      </c>
      <c r="E42">
        <v>16500</v>
      </c>
      <c r="F42" t="s">
        <v>13</v>
      </c>
      <c r="H42" t="str">
        <v>Sneha Latha</v>
      </c>
      <c r="I42" t="str">
        <v>Electronics</v>
      </c>
    </row>
    <row r="43" spans="1:9">
      <c r="A43">
        <v>7018</v>
      </c>
      <c r="B43" t="s">
        <v>39</v>
      </c>
      <c r="C43" s="2">
        <v>46169</v>
      </c>
      <c r="D43" t="s">
        <v>15</v>
      </c>
      <c r="E43">
        <v>7200</v>
      </c>
      <c r="F43" t="s">
        <v>10</v>
      </c>
      <c r="H43" t="str">
        <v>Chalapathi Rao</v>
      </c>
      <c r="I43" t="str">
        <v>Home Decor</v>
      </c>
    </row>
    <row r="46" spans="1:9">
      <c r="A46" s="10" t="s">
        <v>44</v>
      </c>
    </row>
    <row r="48" spans="1:9">
      <c r="A48" s="6" t="s">
        <v>7</v>
      </c>
      <c r="B48" t="s">
        <v>45</v>
      </c>
      <c r="D48" s="6" t="s">
        <v>5</v>
      </c>
      <c r="E48" t="s">
        <v>45</v>
      </c>
    </row>
    <row r="49" spans="1:5">
      <c r="A49" t="s">
        <v>38</v>
      </c>
      <c r="B49" s="7">
        <v>128000</v>
      </c>
      <c r="D49" t="s">
        <v>10</v>
      </c>
      <c r="E49" s="7">
        <v>72700</v>
      </c>
    </row>
    <row r="50" spans="1:5">
      <c r="A50" t="s">
        <v>15</v>
      </c>
      <c r="B50" s="7">
        <v>49100</v>
      </c>
      <c r="D50" t="s">
        <v>13</v>
      </c>
      <c r="E50" s="7">
        <v>64500</v>
      </c>
    </row>
    <row r="51" spans="1:5">
      <c r="A51" t="s">
        <v>46</v>
      </c>
      <c r="B51" s="7">
        <v>42000</v>
      </c>
      <c r="D51" t="s">
        <v>16</v>
      </c>
      <c r="E51" s="7">
        <v>40300</v>
      </c>
    </row>
    <row r="52" spans="1:5">
      <c r="A52" t="s">
        <v>21</v>
      </c>
      <c r="B52" s="7">
        <v>23700</v>
      </c>
      <c r="D52" t="s">
        <v>19</v>
      </c>
      <c r="E52" s="7">
        <v>39200</v>
      </c>
    </row>
    <row r="53" spans="1:5">
      <c r="A53" t="s">
        <v>47</v>
      </c>
      <c r="B53" s="7">
        <v>242800</v>
      </c>
      <c r="D53" t="s">
        <v>22</v>
      </c>
      <c r="E53" s="7">
        <v>26100</v>
      </c>
    </row>
    <row r="54" spans="1:5">
      <c r="D54" t="s">
        <v>47</v>
      </c>
      <c r="E54" s="7">
        <v>242800</v>
      </c>
    </row>
  </sheetData>
  <conditionalFormatting sqref="O1:O1048576">
    <cfRule type="timePeriod" dxfId="3" priority="9" timePeriod="yesterday">
      <formula>FLOOR(O1,1)=TODAY()-1</formula>
    </cfRule>
  </conditionalFormatting>
  <conditionalFormatting sqref="M16">
    <cfRule type="duplicateValues" dxfId="2" priority="3"/>
  </conditionalFormatting>
  <conditionalFormatting sqref="A2:A21">
    <cfRule type="duplicateValues" dxfId="1" priority="2"/>
  </conditionalFormatting>
  <conditionalFormatting sqref="A26:A4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2026-07-07T12:25:00Z</dcterms:created>
  <dcterms:modified xsi:type="dcterms:W3CDTF">2026-07-13T16:21:43Z</dcterms:modified>
  <cp:category/>
  <cp:contentStatus/>
</cp:coreProperties>
</file>